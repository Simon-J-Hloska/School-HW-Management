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61E304A-A81E-442A-9467-AB082B65AF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 a="1"/>
  <c r="Q5" i="1"/>
  <c r="Q9" i="1" a="1"/>
  <c r="Q9" i="1"/>
  <c r="Q8" i="1" a="1"/>
  <c r="Q8" i="1"/>
  <c r="Q7" i="1" a="1"/>
  <c r="Q7" i="1"/>
  <c r="Q6" i="1" a="1"/>
  <c r="Q6" i="1"/>
  <c r="P9" i="1" a="1"/>
  <c r="P9" i="1"/>
  <c r="R9" i="1" s="1"/>
  <c r="P8" i="1" a="1"/>
  <c r="P8" i="1"/>
  <c r="R8" i="1" s="1"/>
  <c r="P7" i="1" a="1"/>
  <c r="P7" i="1"/>
  <c r="R7" i="1" s="1"/>
  <c r="P6" i="1" a="1"/>
  <c r="P6" i="1"/>
  <c r="R6" i="1" s="1"/>
  <c r="P5" i="1" a="1"/>
  <c r="P5" i="1"/>
  <c r="R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<sst xmlns="http://schemas.openxmlformats.org/spreadsheetml/2006/main" count="92" uniqueCount="46">
  <si>
    <t>Projekt WA, Attention keeper. Change log</t>
  </si>
  <si>
    <t>Datum zadání</t>
  </si>
  <si>
    <t>Jméno pracanta</t>
  </si>
  <si>
    <t>Role v projektu</t>
  </si>
  <si>
    <t>popis práce</t>
  </si>
  <si>
    <t>status dokončení</t>
  </si>
  <si>
    <t>čas strávený</t>
  </si>
  <si>
    <t>časový odhad</t>
  </si>
  <si>
    <t>zápisky na víc</t>
  </si>
  <si>
    <t>id usecase</t>
  </si>
  <si>
    <t>jméno zaměstnance</t>
  </si>
  <si>
    <t>jeho plat</t>
  </si>
  <si>
    <t>odpracovaných hodin</t>
  </si>
  <si>
    <t>cenový odhad</t>
  </si>
  <si>
    <t>cena práce zaměstnance</t>
  </si>
  <si>
    <t>Michael Příhoda</t>
  </si>
  <si>
    <t>Frontend dev</t>
  </si>
  <si>
    <t>Najít videa pro použití</t>
  </si>
  <si>
    <t>Zadáno</t>
  </si>
  <si>
    <t>1h</t>
  </si>
  <si>
    <t>250kč/h</t>
  </si>
  <si>
    <t>Vytvořit základní strukturu webu</t>
  </si>
  <si>
    <t>Naplánováno</t>
  </si>
  <si>
    <t>3h</t>
  </si>
  <si>
    <t>Milana Polyanskova</t>
  </si>
  <si>
    <t>Volání endpointů pro start a end timeru</t>
  </si>
  <si>
    <t>V procesu</t>
  </si>
  <si>
    <t>Šimon Hloska</t>
  </si>
  <si>
    <t>Volání endpointu pro získání aktuálních rekordů</t>
  </si>
  <si>
    <t>Nedokončeno</t>
  </si>
  <si>
    <t>David Houra</t>
  </si>
  <si>
    <t>Vít Valenta</t>
  </si>
  <si>
    <t>Dokumentarista</t>
  </si>
  <si>
    <t xml:space="preserve">Zdokumentovat naplánovanou strukturu projektu </t>
  </si>
  <si>
    <t>2h</t>
  </si>
  <si>
    <t>Vytvořit diagramy/schéma struktury projektu</t>
  </si>
  <si>
    <t xml:space="preserve">Sepsat usecases </t>
  </si>
  <si>
    <t>Začít vytvářet finální dokumentaci</t>
  </si>
  <si>
    <t>Sysadmin</t>
  </si>
  <si>
    <t>Nastuduj si VPS a zjisti info jako kolik to stojí a od koho to chceme</t>
  </si>
  <si>
    <t>Připrav si plán na deploy, co vše je třeba</t>
  </si>
  <si>
    <t>Vyber peníze pro VPS</t>
  </si>
  <si>
    <t>Backend dev</t>
  </si>
  <si>
    <t>Vytvoř Laravell backend a zorientuj se v něm</t>
  </si>
  <si>
    <t>Hotovo</t>
  </si>
  <si>
    <t>Vytvoř endpointy pro start a end koukání videa se zápisem do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</si>
</sst>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49" fontId="0" fillId="0" borderId="2" xfId="0" applyNumberFormat="1" applyBorder="1"/>
    <xf numFmtId="0" fontId="0" fillId="0" borderId="2" xfId="0" applyNumberFormat="1" applyBorder="1"/>
    <xf numFmtId="1" fontId="0" fillId="0" borderId="3" xfId="0" applyNumberFormat="1" applyBorder="1"/>
    <xf numFmtId="0" fontId="1" fillId="0" borderId="0" xfId="0" applyFont="1" applyAlignment="1">
      <alignment horizontal="center"/>
    </xf>
    <xf numFmtId="49" fontId="0" fillId="0" borderId="2" xfId="0" applyNumberFormat="1" applyBorder="1" applyAlignment="1">
      <alignment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5" xfId="0" applyNumberFormat="1" applyFont="1" applyFill="1" applyBorder="1" applyAlignment="1">
      <alignment wrapText="1"/>
    </xf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5" xfId="0" applyNumberFormat="1" applyFont="1" applyBorder="1"/>
    <xf numFmtId="0" fontId="0" fillId="3" borderId="5" xfId="0" applyNumberFormat="1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8" xfId="0" applyNumberFormat="1" applyFont="1" applyFill="1" applyBorder="1"/>
  </cellXfs>
  <cellStyles count="1">
    <cellStyle name="Normální" xfId="0" builtinId="0"/>
  </cellStyles>
  <dxfs count="15">
    <dxf>
      <numFmt numFmtId="1" formatCode="0"/>
      <border>
        <left style="thin">
          <color rgb="FF000000"/>
        </left>
        <right/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30" formatCode="@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9" formatCode="dd/mm/yyyy"/>
      <border>
        <left/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theme="9" tint="-0.499984740745262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26D71"/>
      </font>
      <fill>
        <patternFill patternType="solid">
          <bgColor rgb="FFFFC7CE"/>
        </patternFill>
      </fill>
    </dxf>
    <dxf>
      <font>
        <color rgb="FFFF2E35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26D71"/>
      <color rgb="FFFF2E35"/>
      <color rgb="FFE07276"/>
      <color rgb="FFFFD1D3"/>
      <color rgb="FFFCC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92909-6C63-4AD6-92E2-425192389BDC}" name="Tabulka1" displayName="Tabulka1" ref="C4:K100" totalsRowShown="0" headerRowDxfId="9">
  <autoFilter ref="C4:K100" xr:uid="{C6792909-6C63-4AD6-92E2-425192389BDC}"/>
  <tableColumns count="9">
    <tableColumn id="1" xr3:uid="{91B25EAC-C2F2-4F06-A310-56028EDB4F5C}" name="Datum zadání" dataDxfId="8"/>
    <tableColumn id="2" xr3:uid="{13145CD1-489F-457E-B838-38CAB13E31A7}" name="Jméno pracanta" dataDxfId="7"/>
    <tableColumn id="3" xr3:uid="{3583D627-CB64-4AF7-AE76-BC7CA45C5615}" name="Role v projektu" dataDxfId="6"/>
    <tableColumn id="4" xr3:uid="{5704BC43-EABA-4C99-85F2-91667E9429E5}" name="popis práce" dataDxfId="5"/>
    <tableColumn id="5" xr3:uid="{98492592-DCEF-4777-BAAB-F32A40FB556E}" name="status dokončení" dataDxfId="4"/>
    <tableColumn id="6" xr3:uid="{8B1AD852-C073-46E3-99A7-636866EF4A97}" name="čas strávený" dataDxfId="3"/>
    <tableColumn id="7" xr3:uid="{20694543-0696-4EAA-9C67-2A1492E42C98}" name="časový odhad" dataDxfId="2"/>
    <tableColumn id="8" xr3:uid="{D86E0938-1A62-4059-91AB-6A5B50832A28}" name="zápisky na víc" dataDxfId="1"/>
    <tableColumn id="9" xr3:uid="{6FE2562E-BB10-4CD0-A48D-AB6600AA2E48}" name="id usec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C2:R100"/>
  <sheetViews>
    <sheetView tabSelected="1" topLeftCell="B4" workbookViewId="0">
      <selection activeCell="G6" sqref="G6"/>
    </sheetView>
  </sheetViews>
  <sheetFormatPr defaultRowHeight="15"/>
  <cols>
    <col min="3" max="3" width="15.42578125" bestFit="1" customWidth="1"/>
    <col min="4" max="4" width="18.140625" bestFit="1" customWidth="1"/>
    <col min="5" max="5" width="16.7109375" bestFit="1" customWidth="1"/>
    <col min="6" max="6" width="58" customWidth="1"/>
    <col min="7" max="7" width="18.140625" bestFit="1" customWidth="1"/>
    <col min="8" max="8" width="14" bestFit="1" customWidth="1"/>
    <col min="9" max="9" width="15.28515625" bestFit="1" customWidth="1"/>
    <col min="10" max="10" width="18.42578125" customWidth="1"/>
    <col min="11" max="11" width="12.28515625" bestFit="1" customWidth="1"/>
    <col min="14" max="14" width="20.85546875" bestFit="1" customWidth="1"/>
    <col min="15" max="15" width="11" bestFit="1" customWidth="1"/>
    <col min="16" max="16" width="36.5703125" bestFit="1" customWidth="1"/>
    <col min="17" max="17" width="31.140625" bestFit="1" customWidth="1"/>
    <col min="18" max="18" width="26.28515625" customWidth="1"/>
  </cols>
  <sheetData>
    <row r="2" spans="3:18" ht="31.5">
      <c r="E2" s="9" t="s">
        <v>0</v>
      </c>
      <c r="F2" s="9"/>
      <c r="G2" s="9"/>
      <c r="H2" s="9"/>
    </row>
    <row r="4" spans="3:18"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4" t="s">
        <v>9</v>
      </c>
      <c r="N4" s="11" t="s">
        <v>10</v>
      </c>
      <c r="O4" s="12" t="s">
        <v>11</v>
      </c>
      <c r="P4" s="12" t="s">
        <v>12</v>
      </c>
      <c r="Q4" s="12" t="s">
        <v>13</v>
      </c>
      <c r="R4" s="13" t="s">
        <v>14</v>
      </c>
    </row>
    <row r="5" spans="3:18" ht="15" customHeight="1">
      <c r="C5" s="5">
        <v>46059</v>
      </c>
      <c r="D5" s="3" t="s">
        <v>15</v>
      </c>
      <c r="E5" s="3" t="s">
        <v>16</v>
      </c>
      <c r="F5" s="6" t="s">
        <v>17</v>
      </c>
      <c r="G5" s="3" t="s">
        <v>18</v>
      </c>
      <c r="H5" s="3"/>
      <c r="I5" s="7" t="s">
        <v>19</v>
      </c>
      <c r="J5" s="6"/>
      <c r="K5" s="8"/>
      <c r="N5" s="14" t="s">
        <v>15</v>
      </c>
      <c r="O5" s="15" t="s">
        <v>20</v>
      </c>
      <c r="P5" s="16" cm="1">
        <f t="array" ref="P5">SUM(_xlfn._xlws.FILTER(IF(H5:H100="",0,VALUE(SUBSTITUTE(H5:H100,"h",""))),D5:D100=N5))</f>
        <v>0</v>
      </c>
      <c r="Q5" s="15" t="str" cm="1">
        <f t="array" ref="Q5">SUM(_xlfn._xlws.FILTER(IF(I5:I100="",0,VALUE(SUBSTITUTE(I5:I100,"h",""))),D5:D100=N5))*VALUE(LEFT(O5,FIND("k",O5)-1)) &amp; " Kč"</f>
        <v>1500 Kč</v>
      </c>
      <c r="R5" s="17" t="str">
        <f>P5*VALUE(LEFT(O5,FIND("k",O5)-1)) &amp; " Kč"</f>
        <v>0 Kč</v>
      </c>
    </row>
    <row r="6" spans="3:18">
      <c r="C6" s="5">
        <v>46059</v>
      </c>
      <c r="D6" s="3" t="s">
        <v>15</v>
      </c>
      <c r="E6" s="3" t="s">
        <v>16</v>
      </c>
      <c r="F6" s="6" t="s">
        <v>21</v>
      </c>
      <c r="G6" s="3" t="s">
        <v>22</v>
      </c>
      <c r="H6" s="3"/>
      <c r="I6" s="3" t="s">
        <v>23</v>
      </c>
      <c r="J6" s="3"/>
      <c r="K6" s="8"/>
      <c r="N6" s="18" t="s">
        <v>24</v>
      </c>
      <c r="O6" s="19" t="s">
        <v>20</v>
      </c>
      <c r="P6" s="20" cm="1">
        <f t="array" ref="P6">SUM(_xlfn._xlws.FILTER(IF(H5:H100="",0,VALUE(SUBSTITUTE(H5:H100,"h",""))),D5:D100=N6))</f>
        <v>0</v>
      </c>
      <c r="Q6" s="19" t="str" cm="1">
        <f t="array" ref="Q6">SUM(_xlfn._xlws.FILTER(IF(I5:I100="",0,VALUE(SUBSTITUTE(I5:I100,"h",""))),D5:D100=N6))*VALUE(LEFT(O6,FIND("k",O6)-1)) &amp; " Kč"</f>
        <v>1000 Kč</v>
      </c>
      <c r="R6" s="17" t="str">
        <f t="shared" ref="R6:R9" si="0">P6*VALUE(LEFT(O6,FIND("k",O6)-1)) &amp; " Kč"</f>
        <v>0 Kč</v>
      </c>
    </row>
    <row r="7" spans="3:18">
      <c r="C7" s="5">
        <v>46059</v>
      </c>
      <c r="D7" s="3" t="s">
        <v>15</v>
      </c>
      <c r="E7" s="3" t="s">
        <v>16</v>
      </c>
      <c r="F7" s="6" t="s">
        <v>25</v>
      </c>
      <c r="G7" s="3" t="s">
        <v>26</v>
      </c>
      <c r="H7" s="3"/>
      <c r="I7" s="3" t="s">
        <v>19</v>
      </c>
      <c r="J7" s="3"/>
      <c r="K7" s="8"/>
      <c r="N7" s="14" t="s">
        <v>27</v>
      </c>
      <c r="O7" s="15" t="s">
        <v>20</v>
      </c>
      <c r="P7" s="21" cm="1">
        <f t="array" ref="P7">SUM(_xlfn._xlws.FILTER(IF(H5:H100="",0,VALUE(SUBSTITUTE(H5:H100,"h",""))),D5:D100=N7))</f>
        <v>3</v>
      </c>
      <c r="Q7" s="15" t="str" cm="1">
        <f t="array" ref="Q7">SUM(_xlfn._xlws.FILTER(IF(I5:I100="",0,VALUE(SUBSTITUTE(I5:I100,"h",""))),D5:D100=N7))*VALUE(LEFT(O7,FIND("k",O7)-1)) &amp; " Kč"</f>
        <v>750 Kč</v>
      </c>
      <c r="R7" s="17" t="str">
        <f t="shared" si="0"/>
        <v>750 Kč</v>
      </c>
    </row>
    <row r="8" spans="3:18">
      <c r="C8" s="5">
        <v>46059</v>
      </c>
      <c r="D8" s="3" t="s">
        <v>15</v>
      </c>
      <c r="E8" s="3" t="s">
        <v>16</v>
      </c>
      <c r="F8" s="6" t="s">
        <v>28</v>
      </c>
      <c r="G8" s="3" t="s">
        <v>29</v>
      </c>
      <c r="H8" s="3"/>
      <c r="I8" s="3" t="s">
        <v>19</v>
      </c>
      <c r="J8" s="3"/>
      <c r="K8" s="8"/>
      <c r="N8" s="18" t="s">
        <v>30</v>
      </c>
      <c r="O8" s="19" t="s">
        <v>20</v>
      </c>
      <c r="P8" s="20" cm="1">
        <f t="array" ref="P8">SUM(_xlfn._xlws.FILTER(IF(H5:H100="",0,VALUE(SUBSTITUTE(H5:H100,"h",""))),D5:D100=N8))</f>
        <v>0</v>
      </c>
      <c r="Q8" s="19" t="str" cm="1">
        <f t="array" ref="Q8">SUM(_xlfn._xlws.FILTER(IF(I5:I100="",0,VALUE(SUBSTITUTE(I5:I100,"h",""))),D5:D100=N8))*VALUE(LEFT(O8,FIND("k",O8)-1)) &amp; " Kč"</f>
        <v>1250 Kč</v>
      </c>
      <c r="R8" s="17" t="str">
        <f t="shared" si="0"/>
        <v>0 Kč</v>
      </c>
    </row>
    <row r="9" spans="3:18">
      <c r="C9" s="5">
        <v>46059</v>
      </c>
      <c r="D9" s="3" t="s">
        <v>31</v>
      </c>
      <c r="E9" s="3" t="s">
        <v>32</v>
      </c>
      <c r="F9" s="6" t="s">
        <v>33</v>
      </c>
      <c r="G9" s="3" t="s">
        <v>18</v>
      </c>
      <c r="H9" s="3"/>
      <c r="I9" s="3" t="s">
        <v>34</v>
      </c>
      <c r="J9" s="3"/>
      <c r="K9" s="8"/>
      <c r="N9" s="22" t="s">
        <v>31</v>
      </c>
      <c r="O9" s="23" t="s">
        <v>20</v>
      </c>
      <c r="P9" s="24" cm="1">
        <f t="array" ref="P9">SUM(_xlfn._xlws.FILTER(IF(H5:H100="",0,VALUE(SUBSTITUTE(H5:H100,"h",""))),D5:D100=N9))</f>
        <v>0</v>
      </c>
      <c r="Q9" s="23" t="str" cm="1">
        <f t="array" ref="Q9">SUM(_xlfn._xlws.FILTER(IF(I5:I100="",0,VALUE(SUBSTITUTE(I5:I100,"h",""))),D5:D100=N9))*VALUE(LEFT(O9,FIND("k",O9)-1)) &amp; " Kč"</f>
        <v>500 Kč</v>
      </c>
      <c r="R9" s="17" t="str">
        <f t="shared" si="0"/>
        <v>0 Kč</v>
      </c>
    </row>
    <row r="10" spans="3:18">
      <c r="C10" s="5">
        <v>46059</v>
      </c>
      <c r="D10" s="3" t="s">
        <v>24</v>
      </c>
      <c r="E10" s="3" t="s">
        <v>32</v>
      </c>
      <c r="F10" s="6" t="s">
        <v>35</v>
      </c>
      <c r="G10" s="3" t="s">
        <v>18</v>
      </c>
      <c r="H10" s="3"/>
      <c r="I10" s="3" t="s">
        <v>34</v>
      </c>
      <c r="J10" s="3"/>
      <c r="K10" s="8"/>
      <c r="N10" s="1"/>
      <c r="O10" s="1"/>
      <c r="P10" s="1"/>
      <c r="Q10" s="1"/>
      <c r="R10" s="1"/>
    </row>
    <row r="11" spans="3:18">
      <c r="C11" s="5">
        <v>46059</v>
      </c>
      <c r="D11" s="3" t="s">
        <v>24</v>
      </c>
      <c r="E11" s="3" t="s">
        <v>32</v>
      </c>
      <c r="F11" s="6" t="s">
        <v>36</v>
      </c>
      <c r="G11" s="3" t="s">
        <v>18</v>
      </c>
      <c r="H11" s="3"/>
      <c r="I11" s="3" t="s">
        <v>19</v>
      </c>
      <c r="J11" s="3"/>
      <c r="K11" s="8"/>
      <c r="N11" s="1"/>
      <c r="O11" s="1"/>
      <c r="P11" s="1"/>
      <c r="Q11" s="1"/>
      <c r="R11" s="1"/>
    </row>
    <row r="12" spans="3:18">
      <c r="C12" s="5">
        <v>46059</v>
      </c>
      <c r="D12" s="3" t="s">
        <v>24</v>
      </c>
      <c r="E12" s="3" t="s">
        <v>32</v>
      </c>
      <c r="F12" s="6" t="s">
        <v>37</v>
      </c>
      <c r="G12" s="3" t="s">
        <v>18</v>
      </c>
      <c r="H12" s="3"/>
      <c r="I12" s="3" t="s">
        <v>19</v>
      </c>
      <c r="J12" s="3"/>
      <c r="K12" s="8"/>
      <c r="N12" s="1"/>
      <c r="O12" s="1"/>
      <c r="P12" s="1"/>
      <c r="Q12" s="1"/>
      <c r="R12" s="1"/>
    </row>
    <row r="13" spans="3:18" ht="14.25" customHeight="1">
      <c r="C13" s="5">
        <v>46059</v>
      </c>
      <c r="D13" s="3" t="s">
        <v>30</v>
      </c>
      <c r="E13" s="3" t="s">
        <v>38</v>
      </c>
      <c r="F13" s="10" t="s">
        <v>39</v>
      </c>
      <c r="G13" s="3" t="s">
        <v>18</v>
      </c>
      <c r="H13" s="3"/>
      <c r="I13" s="3" t="s">
        <v>23</v>
      </c>
      <c r="J13" s="3"/>
      <c r="K13" s="8"/>
      <c r="N13" s="1"/>
      <c r="O13" s="1"/>
      <c r="P13" s="1"/>
      <c r="Q13" s="1"/>
      <c r="R13" s="1"/>
    </row>
    <row r="14" spans="3:18">
      <c r="C14" s="5">
        <v>46059</v>
      </c>
      <c r="D14" s="3" t="s">
        <v>30</v>
      </c>
      <c r="E14" s="3" t="s">
        <v>38</v>
      </c>
      <c r="F14" s="6" t="s">
        <v>40</v>
      </c>
      <c r="G14" s="3" t="s">
        <v>18</v>
      </c>
      <c r="H14" s="3"/>
      <c r="I14" s="3" t="s">
        <v>19</v>
      </c>
      <c r="J14" s="3"/>
      <c r="K14" s="8"/>
      <c r="N14" s="1"/>
      <c r="O14" s="1"/>
      <c r="P14" s="1"/>
      <c r="Q14" s="1"/>
      <c r="R14" s="1"/>
    </row>
    <row r="15" spans="3:18">
      <c r="C15" s="5">
        <v>46059</v>
      </c>
      <c r="D15" s="3" t="s">
        <v>30</v>
      </c>
      <c r="E15" s="3" t="s">
        <v>38</v>
      </c>
      <c r="F15" s="6" t="s">
        <v>41</v>
      </c>
      <c r="G15" s="3" t="s">
        <v>18</v>
      </c>
      <c r="H15" s="3"/>
      <c r="I15" s="3" t="s">
        <v>19</v>
      </c>
      <c r="J15" s="3"/>
      <c r="K15" s="8"/>
      <c r="N15" s="1"/>
      <c r="O15" s="1"/>
      <c r="P15" s="1"/>
      <c r="Q15" s="1"/>
      <c r="R15" s="1"/>
    </row>
    <row r="16" spans="3:18">
      <c r="C16" s="5">
        <v>46059</v>
      </c>
      <c r="D16" s="3" t="s">
        <v>27</v>
      </c>
      <c r="E16" s="3" t="s">
        <v>42</v>
      </c>
      <c r="F16" s="6" t="s">
        <v>43</v>
      </c>
      <c r="G16" s="3" t="s">
        <v>44</v>
      </c>
      <c r="H16" s="3" t="s">
        <v>19</v>
      </c>
      <c r="I16" s="3" t="s">
        <v>19</v>
      </c>
      <c r="J16" s="3"/>
      <c r="K16" s="8"/>
      <c r="N16" s="1"/>
      <c r="O16" s="1"/>
      <c r="P16" s="1"/>
      <c r="Q16" s="1"/>
      <c r="R16" s="1"/>
    </row>
    <row r="17" spans="3:18">
      <c r="C17" s="5">
        <v>46059</v>
      </c>
      <c r="D17" s="3" t="s">
        <v>27</v>
      </c>
      <c r="E17" s="3" t="s">
        <v>42</v>
      </c>
      <c r="F17" s="6" t="s">
        <v>45</v>
      </c>
      <c r="G17" s="3" t="s">
        <v>44</v>
      </c>
      <c r="H17" s="3" t="s">
        <v>34</v>
      </c>
      <c r="I17" s="3" t="s">
        <v>34</v>
      </c>
      <c r="J17" s="3"/>
      <c r="K17" s="8"/>
      <c r="N17" s="1"/>
      <c r="O17" s="1"/>
      <c r="P17" s="1"/>
      <c r="Q17" s="1"/>
      <c r="R17" s="1"/>
    </row>
    <row r="18" spans="3:18">
      <c r="C18" s="5"/>
      <c r="D18" s="3"/>
      <c r="E18" s="3"/>
      <c r="F18" s="6"/>
      <c r="G18" s="3"/>
      <c r="H18" s="3"/>
      <c r="I18" s="3"/>
      <c r="J18" s="3"/>
      <c r="K18" s="8"/>
      <c r="N18" s="1"/>
      <c r="O18" s="1"/>
      <c r="P18" s="1"/>
      <c r="Q18" s="1"/>
      <c r="R18" s="1"/>
    </row>
    <row r="19" spans="3:18">
      <c r="C19" s="5"/>
      <c r="D19" s="3"/>
      <c r="E19" s="3"/>
      <c r="F19" s="6"/>
      <c r="G19" s="3"/>
      <c r="H19" s="3"/>
      <c r="I19" s="3"/>
      <c r="J19" s="3"/>
      <c r="K19" s="8"/>
      <c r="N19" s="1"/>
      <c r="O19" s="1"/>
      <c r="P19" s="1"/>
      <c r="Q19" s="1"/>
      <c r="R19" s="1"/>
    </row>
    <row r="20" spans="3:18">
      <c r="C20" s="5"/>
      <c r="D20" s="3"/>
      <c r="E20" s="3"/>
      <c r="F20" s="6"/>
      <c r="G20" s="3"/>
      <c r="H20" s="3"/>
      <c r="I20" s="3"/>
      <c r="J20" s="3"/>
      <c r="K20" s="8"/>
      <c r="N20" s="1"/>
      <c r="O20" s="1"/>
      <c r="P20" s="1"/>
      <c r="Q20" s="1"/>
      <c r="R20" s="1"/>
    </row>
    <row r="21" spans="3:18">
      <c r="C21" s="5"/>
      <c r="D21" s="3"/>
      <c r="E21" s="3"/>
      <c r="F21" s="6"/>
      <c r="G21" s="3"/>
      <c r="H21" s="3"/>
      <c r="I21" s="3"/>
      <c r="J21" s="3"/>
      <c r="K21" s="8"/>
      <c r="N21" s="1"/>
      <c r="O21" s="1"/>
      <c r="P21" s="1"/>
      <c r="Q21" s="1"/>
      <c r="R21" s="1"/>
    </row>
    <row r="22" spans="3:18">
      <c r="C22" s="5"/>
      <c r="D22" s="3"/>
      <c r="E22" s="3"/>
      <c r="F22" s="6"/>
      <c r="G22" s="3"/>
      <c r="H22" s="3"/>
      <c r="I22" s="3"/>
      <c r="J22" s="3"/>
      <c r="K22" s="8"/>
      <c r="N22" s="1"/>
      <c r="O22" s="1"/>
      <c r="P22" s="1"/>
      <c r="Q22" s="1"/>
      <c r="R22" s="1"/>
    </row>
    <row r="23" spans="3:18">
      <c r="C23" s="5"/>
      <c r="D23" s="3"/>
      <c r="E23" s="3"/>
      <c r="F23" s="6"/>
      <c r="G23" s="3"/>
      <c r="H23" s="3"/>
      <c r="I23" s="3"/>
      <c r="J23" s="3"/>
      <c r="K23" s="8"/>
      <c r="N23" s="1"/>
      <c r="O23" s="1"/>
      <c r="P23" s="1"/>
      <c r="Q23" s="1"/>
      <c r="R23" s="1"/>
    </row>
    <row r="24" spans="3:18">
      <c r="C24" s="5"/>
      <c r="D24" s="3"/>
      <c r="E24" s="3"/>
      <c r="F24" s="6"/>
      <c r="G24" s="3"/>
      <c r="H24" s="3"/>
      <c r="I24" s="3"/>
      <c r="J24" s="3"/>
      <c r="K24" s="8"/>
      <c r="N24" s="1"/>
      <c r="O24" s="1"/>
      <c r="P24" s="1"/>
      <c r="Q24" s="1"/>
      <c r="R24" s="1"/>
    </row>
    <row r="25" spans="3:18">
      <c r="C25" s="5"/>
      <c r="D25" s="3"/>
      <c r="E25" s="3"/>
      <c r="F25" s="6"/>
      <c r="G25" s="3"/>
      <c r="H25" s="3"/>
      <c r="I25" s="3"/>
      <c r="J25" s="3"/>
      <c r="K25" s="8"/>
      <c r="N25" s="1"/>
      <c r="O25" s="1"/>
      <c r="P25" s="1"/>
      <c r="Q25" s="1"/>
      <c r="R25" s="1"/>
    </row>
    <row r="26" spans="3:18">
      <c r="C26" s="5"/>
      <c r="D26" s="3"/>
      <c r="E26" s="3"/>
      <c r="F26" s="6"/>
      <c r="G26" s="3"/>
      <c r="H26" s="3"/>
      <c r="I26" s="3"/>
      <c r="J26" s="3"/>
      <c r="K26" s="8"/>
      <c r="N26" s="1"/>
      <c r="O26" s="1"/>
      <c r="P26" s="1"/>
      <c r="Q26" s="1"/>
      <c r="R26" s="1"/>
    </row>
    <row r="27" spans="3:18">
      <c r="C27" s="5"/>
      <c r="D27" s="3"/>
      <c r="E27" s="3"/>
      <c r="F27" s="6"/>
      <c r="G27" s="3"/>
      <c r="H27" s="3"/>
      <c r="I27" s="3"/>
      <c r="J27" s="3"/>
      <c r="K27" s="8"/>
      <c r="N27" s="1"/>
      <c r="O27" s="1"/>
      <c r="P27" s="1"/>
      <c r="Q27" s="1"/>
      <c r="R27" s="1"/>
    </row>
    <row r="28" spans="3:18">
      <c r="C28" s="5"/>
      <c r="D28" s="3"/>
      <c r="E28" s="3"/>
      <c r="F28" s="6"/>
      <c r="G28" s="3"/>
      <c r="H28" s="3"/>
      <c r="I28" s="3"/>
      <c r="J28" s="3"/>
      <c r="K28" s="8"/>
      <c r="N28" s="1"/>
      <c r="O28" s="1"/>
      <c r="P28" s="1"/>
      <c r="Q28" s="1"/>
      <c r="R28" s="1"/>
    </row>
    <row r="29" spans="3:18">
      <c r="C29" s="5"/>
      <c r="D29" s="3"/>
      <c r="E29" s="3"/>
      <c r="F29" s="6"/>
      <c r="G29" s="3"/>
      <c r="H29" s="3"/>
      <c r="I29" s="3"/>
      <c r="J29" s="3"/>
      <c r="K29" s="8"/>
      <c r="N29" s="1"/>
      <c r="O29" s="1"/>
      <c r="P29" s="1"/>
      <c r="Q29" s="1"/>
      <c r="R29" s="1"/>
    </row>
    <row r="30" spans="3:18">
      <c r="C30" s="5"/>
      <c r="D30" s="3"/>
      <c r="E30" s="3"/>
      <c r="F30" s="6"/>
      <c r="G30" s="3"/>
      <c r="H30" s="3"/>
      <c r="I30" s="3"/>
      <c r="J30" s="3"/>
      <c r="K30" s="8"/>
      <c r="N30" s="1"/>
      <c r="O30" s="1"/>
      <c r="P30" s="1"/>
      <c r="Q30" s="1"/>
      <c r="R30" s="1"/>
    </row>
    <row r="31" spans="3:18">
      <c r="C31" s="5"/>
      <c r="D31" s="3"/>
      <c r="E31" s="3"/>
      <c r="F31" s="6"/>
      <c r="G31" s="3"/>
      <c r="H31" s="3"/>
      <c r="I31" s="3"/>
      <c r="J31" s="3"/>
      <c r="K31" s="8"/>
      <c r="N31" s="1"/>
      <c r="O31" s="1"/>
      <c r="P31" s="1"/>
      <c r="Q31" s="1"/>
      <c r="R31" s="1"/>
    </row>
    <row r="32" spans="3:18">
      <c r="C32" s="5"/>
      <c r="D32" s="3"/>
      <c r="E32" s="3"/>
      <c r="F32" s="6"/>
      <c r="G32" s="3"/>
      <c r="H32" s="3"/>
      <c r="I32" s="3"/>
      <c r="J32" s="3"/>
      <c r="K32" s="8"/>
      <c r="N32" s="1"/>
      <c r="O32" s="1"/>
      <c r="P32" s="1"/>
      <c r="Q32" s="1"/>
      <c r="R32" s="1"/>
    </row>
    <row r="33" spans="3:18">
      <c r="C33" s="5"/>
      <c r="D33" s="3"/>
      <c r="E33" s="3"/>
      <c r="F33" s="6"/>
      <c r="G33" s="3"/>
      <c r="H33" s="3"/>
      <c r="I33" s="3"/>
      <c r="J33" s="3"/>
      <c r="K33" s="8"/>
      <c r="N33" s="1"/>
      <c r="O33" s="1"/>
      <c r="P33" s="1"/>
      <c r="Q33" s="1"/>
      <c r="R33" s="1"/>
    </row>
    <row r="34" spans="3:18">
      <c r="C34" s="5"/>
      <c r="D34" s="3"/>
      <c r="E34" s="3"/>
      <c r="F34" s="6"/>
      <c r="G34" s="3"/>
      <c r="H34" s="3"/>
      <c r="I34" s="3"/>
      <c r="J34" s="3"/>
      <c r="K34" s="8"/>
      <c r="N34" s="1"/>
      <c r="O34" s="1"/>
      <c r="P34" s="1"/>
      <c r="Q34" s="1"/>
      <c r="R34" s="1"/>
    </row>
    <row r="35" spans="3:18">
      <c r="C35" s="5"/>
      <c r="D35" s="3"/>
      <c r="E35" s="3"/>
      <c r="F35" s="6"/>
      <c r="G35" s="3"/>
      <c r="H35" s="3"/>
      <c r="I35" s="3"/>
      <c r="J35" s="3"/>
      <c r="K35" s="8"/>
      <c r="N35" s="1"/>
      <c r="O35" s="1"/>
      <c r="P35" s="1"/>
      <c r="Q35" s="1"/>
      <c r="R35" s="1"/>
    </row>
    <row r="36" spans="3:18">
      <c r="C36" s="5"/>
      <c r="D36" s="3"/>
      <c r="E36" s="3"/>
      <c r="F36" s="6"/>
      <c r="G36" s="3"/>
      <c r="H36" s="3"/>
      <c r="I36" s="3"/>
      <c r="J36" s="3"/>
      <c r="K36" s="8"/>
      <c r="N36" s="1"/>
      <c r="O36" s="1"/>
      <c r="P36" s="1"/>
      <c r="Q36" s="1"/>
      <c r="R36" s="1"/>
    </row>
    <row r="37" spans="3:18">
      <c r="C37" s="5"/>
      <c r="D37" s="3"/>
      <c r="E37" s="3"/>
      <c r="F37" s="6"/>
      <c r="G37" s="3"/>
      <c r="H37" s="3"/>
      <c r="I37" s="3"/>
      <c r="J37" s="3"/>
      <c r="K37" s="8"/>
      <c r="N37" s="1"/>
      <c r="O37" s="1"/>
      <c r="P37" s="1"/>
      <c r="Q37" s="1"/>
      <c r="R37" s="1"/>
    </row>
    <row r="38" spans="3:18">
      <c r="C38" s="5"/>
      <c r="D38" s="3"/>
      <c r="E38" s="3"/>
      <c r="F38" s="6"/>
      <c r="G38" s="3"/>
      <c r="H38" s="3"/>
      <c r="I38" s="3"/>
      <c r="J38" s="3"/>
      <c r="K38" s="8"/>
      <c r="N38" s="1"/>
      <c r="O38" s="1"/>
      <c r="P38" s="1"/>
      <c r="Q38" s="1"/>
      <c r="R38" s="1"/>
    </row>
    <row r="39" spans="3:18">
      <c r="C39" s="5"/>
      <c r="D39" s="3"/>
      <c r="E39" s="3"/>
      <c r="F39" s="6"/>
      <c r="G39" s="3"/>
      <c r="H39" s="3"/>
      <c r="I39" s="3"/>
      <c r="J39" s="3"/>
      <c r="K39" s="8"/>
      <c r="N39" s="1"/>
      <c r="O39" s="1"/>
      <c r="P39" s="1"/>
      <c r="Q39" s="1"/>
      <c r="R39" s="1"/>
    </row>
    <row r="40" spans="3:18">
      <c r="C40" s="5"/>
      <c r="D40" s="3"/>
      <c r="E40" s="3"/>
      <c r="F40" s="6"/>
      <c r="G40" s="3"/>
      <c r="H40" s="3"/>
      <c r="I40" s="3"/>
      <c r="J40" s="3"/>
      <c r="K40" s="8"/>
      <c r="N40" s="1"/>
      <c r="O40" s="1"/>
      <c r="P40" s="1"/>
      <c r="Q40" s="1"/>
      <c r="R40" s="1"/>
    </row>
    <row r="41" spans="3:18">
      <c r="C41" s="5"/>
      <c r="D41" s="3"/>
      <c r="E41" s="3"/>
      <c r="F41" s="6"/>
      <c r="G41" s="3"/>
      <c r="H41" s="3"/>
      <c r="I41" s="3"/>
      <c r="J41" s="3"/>
      <c r="K41" s="8"/>
      <c r="N41" s="1"/>
      <c r="O41" s="1"/>
      <c r="P41" s="1"/>
      <c r="Q41" s="1"/>
      <c r="R41" s="1"/>
    </row>
    <row r="42" spans="3:18">
      <c r="C42" s="5"/>
      <c r="D42" s="3"/>
      <c r="E42" s="3"/>
      <c r="F42" s="6"/>
      <c r="G42" s="3"/>
      <c r="H42" s="3"/>
      <c r="I42" s="3"/>
      <c r="J42" s="3"/>
      <c r="K42" s="8"/>
      <c r="N42" s="1"/>
      <c r="O42" s="1"/>
      <c r="P42" s="1"/>
      <c r="Q42" s="1"/>
      <c r="R42" s="1"/>
    </row>
    <row r="43" spans="3:18">
      <c r="C43" s="5"/>
      <c r="D43" s="3"/>
      <c r="E43" s="3"/>
      <c r="F43" s="6"/>
      <c r="G43" s="3"/>
      <c r="H43" s="3"/>
      <c r="I43" s="3"/>
      <c r="J43" s="3"/>
      <c r="K43" s="8"/>
      <c r="N43" s="1"/>
      <c r="O43" s="1"/>
      <c r="P43" s="1"/>
      <c r="Q43" s="1"/>
      <c r="R43" s="1"/>
    </row>
    <row r="44" spans="3:18">
      <c r="C44" s="5"/>
      <c r="D44" s="3"/>
      <c r="E44" s="3"/>
      <c r="F44" s="6"/>
      <c r="G44" s="3"/>
      <c r="H44" s="3"/>
      <c r="I44" s="3"/>
      <c r="J44" s="3"/>
      <c r="K44" s="8"/>
      <c r="N44" s="1"/>
      <c r="O44" s="1"/>
      <c r="P44" s="1"/>
      <c r="Q44" s="1"/>
      <c r="R44" s="1"/>
    </row>
    <row r="45" spans="3:18">
      <c r="C45" s="5"/>
      <c r="D45" s="3"/>
      <c r="E45" s="3"/>
      <c r="F45" s="6"/>
      <c r="G45" s="3"/>
      <c r="H45" s="3"/>
      <c r="I45" s="3"/>
      <c r="J45" s="3"/>
      <c r="K45" s="8"/>
      <c r="N45" s="1"/>
      <c r="O45" s="1"/>
      <c r="P45" s="1"/>
      <c r="Q45" s="1"/>
      <c r="R45" s="1"/>
    </row>
    <row r="46" spans="3:18">
      <c r="C46" s="5"/>
      <c r="D46" s="3"/>
      <c r="E46" s="3"/>
      <c r="F46" s="6"/>
      <c r="G46" s="3"/>
      <c r="H46" s="3"/>
      <c r="I46" s="3"/>
      <c r="J46" s="3"/>
      <c r="K46" s="8"/>
      <c r="N46" s="1"/>
      <c r="O46" s="1"/>
      <c r="P46" s="1"/>
      <c r="Q46" s="1"/>
      <c r="R46" s="1"/>
    </row>
    <row r="47" spans="3:18">
      <c r="C47" s="5"/>
      <c r="D47" s="3"/>
      <c r="E47" s="3"/>
      <c r="F47" s="6"/>
      <c r="G47" s="3"/>
      <c r="H47" s="3"/>
      <c r="I47" s="3"/>
      <c r="J47" s="3"/>
      <c r="K47" s="8"/>
      <c r="N47" s="1"/>
      <c r="O47" s="1"/>
      <c r="P47" s="1"/>
      <c r="Q47" s="1"/>
      <c r="R47" s="1"/>
    </row>
    <row r="48" spans="3:18">
      <c r="C48" s="5"/>
      <c r="D48" s="3"/>
      <c r="E48" s="3"/>
      <c r="F48" s="6"/>
      <c r="G48" s="3"/>
      <c r="H48" s="3"/>
      <c r="I48" s="3"/>
      <c r="J48" s="3"/>
      <c r="K48" s="8"/>
      <c r="N48" s="1"/>
      <c r="O48" s="1"/>
      <c r="P48" s="1"/>
      <c r="Q48" s="1"/>
      <c r="R48" s="1"/>
    </row>
    <row r="49" spans="3:18">
      <c r="C49" s="5"/>
      <c r="D49" s="3"/>
      <c r="E49" s="3"/>
      <c r="F49" s="6"/>
      <c r="G49" s="3"/>
      <c r="H49" s="3"/>
      <c r="I49" s="3"/>
      <c r="J49" s="3"/>
      <c r="K49" s="8"/>
      <c r="N49" s="1"/>
      <c r="O49" s="1"/>
      <c r="P49" s="1"/>
      <c r="Q49" s="1"/>
      <c r="R49" s="1"/>
    </row>
    <row r="50" spans="3:18">
      <c r="C50" s="5"/>
      <c r="D50" s="3"/>
      <c r="E50" s="3"/>
      <c r="F50" s="6"/>
      <c r="G50" s="3"/>
      <c r="H50" s="3"/>
      <c r="I50" s="3"/>
      <c r="J50" s="3"/>
      <c r="K50" s="8"/>
      <c r="N50" s="1"/>
      <c r="O50" s="1"/>
      <c r="P50" s="1"/>
      <c r="Q50" s="1"/>
      <c r="R50" s="1"/>
    </row>
    <row r="51" spans="3:18">
      <c r="C51" s="5"/>
      <c r="D51" s="3"/>
      <c r="E51" s="3"/>
      <c r="F51" s="6"/>
      <c r="G51" s="3"/>
      <c r="H51" s="3"/>
      <c r="I51" s="3"/>
      <c r="J51" s="3"/>
      <c r="K51" s="8"/>
      <c r="N51" s="1"/>
      <c r="O51" s="1"/>
      <c r="P51" s="1"/>
      <c r="Q51" s="1"/>
      <c r="R51" s="1"/>
    </row>
    <row r="52" spans="3:18">
      <c r="C52" s="5"/>
      <c r="D52" s="3"/>
      <c r="E52" s="3"/>
      <c r="F52" s="6"/>
      <c r="G52" s="3"/>
      <c r="H52" s="3"/>
      <c r="I52" s="3"/>
      <c r="J52" s="3"/>
      <c r="K52" s="8"/>
      <c r="N52" s="1"/>
      <c r="O52" s="1"/>
      <c r="P52" s="1"/>
      <c r="Q52" s="1"/>
      <c r="R52" s="1"/>
    </row>
    <row r="53" spans="3:18">
      <c r="C53" s="5"/>
      <c r="D53" s="3"/>
      <c r="E53" s="3"/>
      <c r="F53" s="6"/>
      <c r="G53" s="3"/>
      <c r="H53" s="3"/>
      <c r="I53" s="3"/>
      <c r="J53" s="3"/>
      <c r="K53" s="8"/>
      <c r="N53" s="1"/>
      <c r="O53" s="1"/>
      <c r="P53" s="1"/>
      <c r="Q53" s="1"/>
      <c r="R53" s="1"/>
    </row>
    <row r="54" spans="3:18">
      <c r="C54" s="5"/>
      <c r="D54" s="3"/>
      <c r="E54" s="3"/>
      <c r="F54" s="6"/>
      <c r="G54" s="3"/>
      <c r="H54" s="3"/>
      <c r="I54" s="3"/>
      <c r="J54" s="3"/>
      <c r="K54" s="8"/>
      <c r="N54" s="1"/>
      <c r="O54" s="1"/>
      <c r="P54" s="1"/>
      <c r="Q54" s="1"/>
      <c r="R54" s="1"/>
    </row>
    <row r="55" spans="3:18">
      <c r="C55" s="5"/>
      <c r="D55" s="3"/>
      <c r="E55" s="3"/>
      <c r="F55" s="6"/>
      <c r="G55" s="3"/>
      <c r="H55" s="3"/>
      <c r="I55" s="3"/>
      <c r="J55" s="3"/>
      <c r="K55" s="8"/>
      <c r="N55" s="1"/>
      <c r="O55" s="1"/>
      <c r="P55" s="1"/>
      <c r="Q55" s="1"/>
      <c r="R55" s="1"/>
    </row>
    <row r="56" spans="3:18">
      <c r="C56" s="5"/>
      <c r="D56" s="3"/>
      <c r="E56" s="3"/>
      <c r="F56" s="6"/>
      <c r="G56" s="3"/>
      <c r="H56" s="3"/>
      <c r="I56" s="3"/>
      <c r="J56" s="3"/>
      <c r="K56" s="8"/>
      <c r="N56" s="1"/>
      <c r="O56" s="1"/>
      <c r="P56" s="1"/>
      <c r="Q56" s="1"/>
      <c r="R56" s="1"/>
    </row>
    <row r="57" spans="3:18">
      <c r="C57" s="5"/>
      <c r="D57" s="3"/>
      <c r="E57" s="3"/>
      <c r="F57" s="6"/>
      <c r="G57" s="3"/>
      <c r="H57" s="3"/>
      <c r="I57" s="3"/>
      <c r="J57" s="3"/>
      <c r="K57" s="8"/>
      <c r="N57" s="1"/>
      <c r="O57" s="1"/>
      <c r="P57" s="1"/>
      <c r="Q57" s="1"/>
      <c r="R57" s="1"/>
    </row>
    <row r="58" spans="3:18">
      <c r="C58" s="5"/>
      <c r="D58" s="3"/>
      <c r="E58" s="3"/>
      <c r="F58" s="6"/>
      <c r="G58" s="3"/>
      <c r="H58" s="3"/>
      <c r="I58" s="3"/>
      <c r="J58" s="3"/>
      <c r="K58" s="8"/>
      <c r="N58" s="1"/>
      <c r="O58" s="1"/>
      <c r="P58" s="1"/>
      <c r="Q58" s="1"/>
      <c r="R58" s="1"/>
    </row>
    <row r="59" spans="3:18">
      <c r="C59" s="5"/>
      <c r="D59" s="3"/>
      <c r="E59" s="3"/>
      <c r="F59" s="6"/>
      <c r="G59" s="3"/>
      <c r="H59" s="3"/>
      <c r="I59" s="3"/>
      <c r="J59" s="3"/>
      <c r="K59" s="8"/>
      <c r="N59" s="1"/>
      <c r="O59" s="1"/>
      <c r="P59" s="1"/>
      <c r="Q59" s="1"/>
      <c r="R59" s="1"/>
    </row>
    <row r="60" spans="3:18">
      <c r="C60" s="5"/>
      <c r="D60" s="3"/>
      <c r="E60" s="3"/>
      <c r="F60" s="6"/>
      <c r="G60" s="3"/>
      <c r="H60" s="3"/>
      <c r="I60" s="3"/>
      <c r="J60" s="3"/>
      <c r="K60" s="8"/>
      <c r="N60" s="1"/>
      <c r="O60" s="1"/>
      <c r="P60" s="1"/>
      <c r="Q60" s="1"/>
      <c r="R60" s="1"/>
    </row>
    <row r="61" spans="3:18">
      <c r="C61" s="5"/>
      <c r="D61" s="3"/>
      <c r="E61" s="3"/>
      <c r="F61" s="6"/>
      <c r="G61" s="3"/>
      <c r="H61" s="3"/>
      <c r="I61" s="3"/>
      <c r="J61" s="3"/>
      <c r="K61" s="8"/>
      <c r="N61" s="1"/>
      <c r="O61" s="1"/>
      <c r="P61" s="1"/>
      <c r="Q61" s="1"/>
      <c r="R61" s="1"/>
    </row>
    <row r="62" spans="3:18">
      <c r="C62" s="5"/>
      <c r="D62" s="3"/>
      <c r="E62" s="3"/>
      <c r="F62" s="6"/>
      <c r="G62" s="3"/>
      <c r="H62" s="3"/>
      <c r="I62" s="3"/>
      <c r="J62" s="3"/>
      <c r="K62" s="8"/>
      <c r="N62" s="1"/>
      <c r="O62" s="1"/>
      <c r="P62" s="1"/>
      <c r="Q62" s="1"/>
      <c r="R62" s="1"/>
    </row>
    <row r="63" spans="3:18">
      <c r="C63" s="5"/>
      <c r="D63" s="3"/>
      <c r="E63" s="3"/>
      <c r="F63" s="6"/>
      <c r="G63" s="3"/>
      <c r="H63" s="3"/>
      <c r="I63" s="3"/>
      <c r="J63" s="3"/>
      <c r="K63" s="8"/>
      <c r="N63" s="1"/>
      <c r="O63" s="1"/>
      <c r="P63" s="1"/>
      <c r="Q63" s="1"/>
      <c r="R63" s="1"/>
    </row>
    <row r="64" spans="3:18">
      <c r="C64" s="5"/>
      <c r="D64" s="3"/>
      <c r="E64" s="3"/>
      <c r="F64" s="6"/>
      <c r="G64" s="3"/>
      <c r="H64" s="3"/>
      <c r="I64" s="3"/>
      <c r="J64" s="3"/>
      <c r="K64" s="8"/>
      <c r="N64" s="1"/>
      <c r="O64" s="1"/>
      <c r="P64" s="1"/>
      <c r="Q64" s="1"/>
      <c r="R64" s="1"/>
    </row>
    <row r="65" spans="3:18">
      <c r="C65" s="5"/>
      <c r="D65" s="3"/>
      <c r="E65" s="3"/>
      <c r="F65" s="6"/>
      <c r="G65" s="3"/>
      <c r="H65" s="3"/>
      <c r="I65" s="3"/>
      <c r="J65" s="3"/>
      <c r="K65" s="8"/>
      <c r="N65" s="1"/>
      <c r="O65" s="1"/>
      <c r="P65" s="1"/>
      <c r="Q65" s="1"/>
      <c r="R65" s="1"/>
    </row>
    <row r="66" spans="3:18">
      <c r="C66" s="5"/>
      <c r="D66" s="3"/>
      <c r="E66" s="3"/>
      <c r="F66" s="6"/>
      <c r="G66" s="3"/>
      <c r="H66" s="3"/>
      <c r="I66" s="3"/>
      <c r="J66" s="3"/>
      <c r="K66" s="8"/>
      <c r="N66" s="1"/>
      <c r="O66" s="1"/>
      <c r="P66" s="1"/>
      <c r="Q66" s="1"/>
      <c r="R66" s="1"/>
    </row>
    <row r="67" spans="3:18">
      <c r="C67" s="5"/>
      <c r="D67" s="3"/>
      <c r="E67" s="3"/>
      <c r="F67" s="6"/>
      <c r="G67" s="3"/>
      <c r="H67" s="3"/>
      <c r="I67" s="3"/>
      <c r="J67" s="3"/>
      <c r="K67" s="8"/>
      <c r="N67" s="1"/>
      <c r="O67" s="1"/>
      <c r="P67" s="1"/>
      <c r="Q67" s="1"/>
      <c r="R67" s="1"/>
    </row>
    <row r="68" spans="3:18">
      <c r="C68" s="5"/>
      <c r="D68" s="3"/>
      <c r="E68" s="3"/>
      <c r="F68" s="6"/>
      <c r="G68" s="3"/>
      <c r="H68" s="3"/>
      <c r="I68" s="3"/>
      <c r="J68" s="3"/>
      <c r="K68" s="8"/>
      <c r="N68" s="1"/>
      <c r="O68" s="1"/>
      <c r="P68" s="1"/>
      <c r="Q68" s="1"/>
      <c r="R68" s="1"/>
    </row>
    <row r="69" spans="3:18">
      <c r="C69" s="5"/>
      <c r="D69" s="3"/>
      <c r="E69" s="3"/>
      <c r="F69" s="6"/>
      <c r="G69" s="3"/>
      <c r="H69" s="3"/>
      <c r="I69" s="3"/>
      <c r="J69" s="3"/>
      <c r="K69" s="8"/>
      <c r="N69" s="1"/>
      <c r="O69" s="1"/>
      <c r="P69" s="1"/>
      <c r="Q69" s="1"/>
      <c r="R69" s="1"/>
    </row>
    <row r="70" spans="3:18">
      <c r="C70" s="5"/>
      <c r="D70" s="3"/>
      <c r="E70" s="3"/>
      <c r="F70" s="6"/>
      <c r="G70" s="3"/>
      <c r="H70" s="3"/>
      <c r="I70" s="3"/>
      <c r="J70" s="3"/>
      <c r="K70" s="8"/>
      <c r="N70" s="1"/>
      <c r="O70" s="1"/>
      <c r="P70" s="1"/>
      <c r="Q70" s="1"/>
      <c r="R70" s="1"/>
    </row>
    <row r="71" spans="3:18">
      <c r="C71" s="5"/>
      <c r="D71" s="3"/>
      <c r="E71" s="3"/>
      <c r="F71" s="6"/>
      <c r="G71" s="3"/>
      <c r="H71" s="3"/>
      <c r="I71" s="3"/>
      <c r="J71" s="3"/>
      <c r="K71" s="8"/>
      <c r="N71" s="1"/>
      <c r="O71" s="1"/>
      <c r="P71" s="1"/>
      <c r="Q71" s="1"/>
      <c r="R71" s="1"/>
    </row>
    <row r="72" spans="3:18">
      <c r="C72" s="5"/>
      <c r="D72" s="3"/>
      <c r="E72" s="3"/>
      <c r="F72" s="6"/>
      <c r="G72" s="3"/>
      <c r="H72" s="3"/>
      <c r="I72" s="3"/>
      <c r="J72" s="3"/>
      <c r="K72" s="8"/>
      <c r="N72" s="1"/>
      <c r="O72" s="1"/>
      <c r="P72" s="1"/>
      <c r="Q72" s="1"/>
      <c r="R72" s="1"/>
    </row>
    <row r="73" spans="3:18">
      <c r="C73" s="5"/>
      <c r="D73" s="3"/>
      <c r="E73" s="3"/>
      <c r="F73" s="6"/>
      <c r="G73" s="3"/>
      <c r="H73" s="3"/>
      <c r="I73" s="3"/>
      <c r="J73" s="3"/>
      <c r="K73" s="8"/>
      <c r="N73" s="1"/>
      <c r="O73" s="1"/>
      <c r="P73" s="1"/>
      <c r="Q73" s="1"/>
      <c r="R73" s="1"/>
    </row>
    <row r="74" spans="3:18">
      <c r="C74" s="5"/>
      <c r="D74" s="3"/>
      <c r="E74" s="3"/>
      <c r="F74" s="6"/>
      <c r="G74" s="3"/>
      <c r="H74" s="3"/>
      <c r="I74" s="3"/>
      <c r="J74" s="3"/>
      <c r="K74" s="8"/>
      <c r="N74" s="1"/>
      <c r="O74" s="1"/>
      <c r="P74" s="1"/>
      <c r="Q74" s="1"/>
      <c r="R74" s="1"/>
    </row>
    <row r="75" spans="3:18">
      <c r="C75" s="5"/>
      <c r="D75" s="3"/>
      <c r="E75" s="3"/>
      <c r="F75" s="6"/>
      <c r="G75" s="3"/>
      <c r="H75" s="3"/>
      <c r="I75" s="3"/>
      <c r="J75" s="3"/>
      <c r="K75" s="8"/>
      <c r="N75" s="1"/>
      <c r="O75" s="1"/>
      <c r="P75" s="1"/>
      <c r="Q75" s="1"/>
      <c r="R75" s="1"/>
    </row>
    <row r="76" spans="3:18">
      <c r="C76" s="5"/>
      <c r="D76" s="3"/>
      <c r="E76" s="3"/>
      <c r="F76" s="6"/>
      <c r="G76" s="3"/>
      <c r="H76" s="3"/>
      <c r="I76" s="3"/>
      <c r="J76" s="3"/>
      <c r="K76" s="8"/>
      <c r="N76" s="1"/>
      <c r="O76" s="1"/>
      <c r="P76" s="1"/>
      <c r="Q76" s="1"/>
      <c r="R76" s="1"/>
    </row>
    <row r="77" spans="3:18">
      <c r="C77" s="5"/>
      <c r="D77" s="3"/>
      <c r="E77" s="3"/>
      <c r="F77" s="6"/>
      <c r="G77" s="3"/>
      <c r="H77" s="3"/>
      <c r="I77" s="3"/>
      <c r="J77" s="3"/>
      <c r="K77" s="8"/>
      <c r="N77" s="1"/>
      <c r="O77" s="1"/>
      <c r="P77" s="1"/>
      <c r="Q77" s="1"/>
      <c r="R77" s="1"/>
    </row>
    <row r="78" spans="3:18">
      <c r="C78" s="5"/>
      <c r="D78" s="3"/>
      <c r="E78" s="3"/>
      <c r="F78" s="6"/>
      <c r="G78" s="3"/>
      <c r="H78" s="3"/>
      <c r="I78" s="3"/>
      <c r="J78" s="3"/>
      <c r="K78" s="8"/>
      <c r="N78" s="1"/>
      <c r="O78" s="1"/>
      <c r="P78" s="1"/>
      <c r="Q78" s="1"/>
      <c r="R78" s="1"/>
    </row>
    <row r="79" spans="3:18">
      <c r="C79" s="5"/>
      <c r="D79" s="3"/>
      <c r="E79" s="3"/>
      <c r="F79" s="6"/>
      <c r="G79" s="3"/>
      <c r="H79" s="3"/>
      <c r="I79" s="3"/>
      <c r="J79" s="3"/>
      <c r="K79" s="8"/>
      <c r="N79" s="1"/>
      <c r="O79" s="1"/>
      <c r="P79" s="1"/>
      <c r="Q79" s="1"/>
      <c r="R79" s="1"/>
    </row>
    <row r="80" spans="3:18">
      <c r="C80" s="5"/>
      <c r="D80" s="3"/>
      <c r="E80" s="3"/>
      <c r="F80" s="6"/>
      <c r="G80" s="3"/>
      <c r="H80" s="3"/>
      <c r="I80" s="3"/>
      <c r="J80" s="3"/>
      <c r="K80" s="8"/>
      <c r="N80" s="1"/>
      <c r="O80" s="1"/>
      <c r="P80" s="1"/>
      <c r="Q80" s="1"/>
      <c r="R80" s="1"/>
    </row>
    <row r="81" spans="3:18">
      <c r="C81" s="5"/>
      <c r="D81" s="3"/>
      <c r="E81" s="3"/>
      <c r="F81" s="6"/>
      <c r="G81" s="3"/>
      <c r="H81" s="3"/>
      <c r="I81" s="3"/>
      <c r="J81" s="3"/>
      <c r="K81" s="8"/>
      <c r="N81" s="1"/>
      <c r="O81" s="1"/>
      <c r="P81" s="1"/>
      <c r="Q81" s="1"/>
      <c r="R81" s="1"/>
    </row>
    <row r="82" spans="3:18">
      <c r="C82" s="5"/>
      <c r="D82" s="3"/>
      <c r="E82" s="3"/>
      <c r="F82" s="6"/>
      <c r="G82" s="3"/>
      <c r="H82" s="3"/>
      <c r="I82" s="3"/>
      <c r="J82" s="3"/>
      <c r="K82" s="8"/>
      <c r="N82" s="1"/>
      <c r="O82" s="1"/>
      <c r="P82" s="1"/>
      <c r="Q82" s="1"/>
      <c r="R82" s="1"/>
    </row>
    <row r="83" spans="3:18">
      <c r="C83" s="5"/>
      <c r="D83" s="3"/>
      <c r="E83" s="3"/>
      <c r="F83" s="6"/>
      <c r="G83" s="3"/>
      <c r="H83" s="3"/>
      <c r="I83" s="3"/>
      <c r="J83" s="3"/>
      <c r="K83" s="8"/>
      <c r="N83" s="1"/>
      <c r="O83" s="1"/>
      <c r="P83" s="1"/>
      <c r="Q83" s="1"/>
      <c r="R83" s="1"/>
    </row>
    <row r="84" spans="3:18">
      <c r="C84" s="5"/>
      <c r="D84" s="3"/>
      <c r="E84" s="3"/>
      <c r="F84" s="6"/>
      <c r="G84" s="3"/>
      <c r="H84" s="3"/>
      <c r="I84" s="3"/>
      <c r="J84" s="3"/>
      <c r="K84" s="8"/>
      <c r="N84" s="1"/>
      <c r="O84" s="1"/>
      <c r="P84" s="1"/>
      <c r="Q84" s="1"/>
      <c r="R84" s="1"/>
    </row>
    <row r="85" spans="3:18">
      <c r="C85" s="5"/>
      <c r="D85" s="3"/>
      <c r="E85" s="3"/>
      <c r="F85" s="6"/>
      <c r="G85" s="3"/>
      <c r="H85" s="3"/>
      <c r="I85" s="3"/>
      <c r="J85" s="3"/>
      <c r="K85" s="8"/>
      <c r="N85" s="1"/>
      <c r="O85" s="1"/>
      <c r="P85" s="1"/>
      <c r="Q85" s="1"/>
      <c r="R85" s="1"/>
    </row>
    <row r="86" spans="3:18">
      <c r="C86" s="5"/>
      <c r="D86" s="3"/>
      <c r="E86" s="3"/>
      <c r="F86" s="6"/>
      <c r="G86" s="3"/>
      <c r="H86" s="3"/>
      <c r="I86" s="3"/>
      <c r="J86" s="3"/>
      <c r="K86" s="8"/>
      <c r="N86" s="1"/>
      <c r="O86" s="1"/>
      <c r="P86" s="1"/>
      <c r="Q86" s="1"/>
      <c r="R86" s="1"/>
    </row>
    <row r="87" spans="3:18">
      <c r="C87" s="5"/>
      <c r="D87" s="3"/>
      <c r="E87" s="3"/>
      <c r="F87" s="6"/>
      <c r="G87" s="3"/>
      <c r="H87" s="3"/>
      <c r="I87" s="3"/>
      <c r="J87" s="3"/>
      <c r="K87" s="8"/>
      <c r="N87" s="1"/>
      <c r="O87" s="1"/>
      <c r="P87" s="1"/>
      <c r="Q87" s="1"/>
      <c r="R87" s="1"/>
    </row>
    <row r="88" spans="3:18">
      <c r="C88" s="5"/>
      <c r="D88" s="3"/>
      <c r="E88" s="3"/>
      <c r="F88" s="6"/>
      <c r="G88" s="3"/>
      <c r="H88" s="3"/>
      <c r="I88" s="3"/>
      <c r="J88" s="3"/>
      <c r="K88" s="8"/>
      <c r="N88" s="1"/>
      <c r="O88" s="1"/>
      <c r="P88" s="1"/>
      <c r="Q88" s="1"/>
      <c r="R88" s="1"/>
    </row>
    <row r="89" spans="3:18">
      <c r="C89" s="5"/>
      <c r="D89" s="3"/>
      <c r="E89" s="3"/>
      <c r="F89" s="6"/>
      <c r="G89" s="3"/>
      <c r="H89" s="3"/>
      <c r="I89" s="3"/>
      <c r="J89" s="3"/>
      <c r="K89" s="8"/>
      <c r="N89" s="1"/>
      <c r="O89" s="1"/>
      <c r="P89" s="1"/>
      <c r="Q89" s="1"/>
      <c r="R89" s="1"/>
    </row>
    <row r="90" spans="3:18">
      <c r="C90" s="5"/>
      <c r="D90" s="3"/>
      <c r="E90" s="3"/>
      <c r="F90" s="6"/>
      <c r="G90" s="3"/>
      <c r="H90" s="3"/>
      <c r="I90" s="3"/>
      <c r="J90" s="3"/>
      <c r="K90" s="8"/>
      <c r="N90" s="1"/>
      <c r="O90" s="1"/>
      <c r="P90" s="1"/>
      <c r="Q90" s="1"/>
      <c r="R90" s="1"/>
    </row>
    <row r="91" spans="3:18">
      <c r="C91" s="5"/>
      <c r="D91" s="3"/>
      <c r="E91" s="3"/>
      <c r="F91" s="6"/>
      <c r="G91" s="3"/>
      <c r="H91" s="3"/>
      <c r="I91" s="3"/>
      <c r="J91" s="3"/>
      <c r="K91" s="8"/>
      <c r="N91" s="1"/>
      <c r="O91" s="1"/>
      <c r="P91" s="1"/>
      <c r="Q91" s="1"/>
      <c r="R91" s="1"/>
    </row>
    <row r="92" spans="3:18">
      <c r="C92" s="5"/>
      <c r="D92" s="3"/>
      <c r="E92" s="3"/>
      <c r="F92" s="6"/>
      <c r="G92" s="3"/>
      <c r="H92" s="3"/>
      <c r="I92" s="3"/>
      <c r="J92" s="3"/>
      <c r="K92" s="8"/>
      <c r="N92" s="1"/>
      <c r="O92" s="1"/>
      <c r="P92" s="1"/>
      <c r="Q92" s="1"/>
      <c r="R92" s="1"/>
    </row>
    <row r="93" spans="3:18">
      <c r="C93" s="5"/>
      <c r="D93" s="3"/>
      <c r="E93" s="3"/>
      <c r="F93" s="6"/>
      <c r="G93" s="3"/>
      <c r="H93" s="3"/>
      <c r="I93" s="3"/>
      <c r="J93" s="3"/>
      <c r="K93" s="8"/>
      <c r="N93" s="1"/>
      <c r="O93" s="1"/>
      <c r="P93" s="1"/>
      <c r="Q93" s="1"/>
      <c r="R93" s="1"/>
    </row>
    <row r="94" spans="3:18">
      <c r="C94" s="5"/>
      <c r="D94" s="3"/>
      <c r="E94" s="3"/>
      <c r="F94" s="6"/>
      <c r="G94" s="3"/>
      <c r="H94" s="3"/>
      <c r="I94" s="3"/>
      <c r="J94" s="3"/>
      <c r="K94" s="8"/>
      <c r="N94" s="1"/>
      <c r="O94" s="1"/>
      <c r="P94" s="1"/>
      <c r="Q94" s="1"/>
      <c r="R94" s="1"/>
    </row>
    <row r="95" spans="3:18">
      <c r="C95" s="5"/>
      <c r="D95" s="3"/>
      <c r="E95" s="3"/>
      <c r="F95" s="6"/>
      <c r="G95" s="3"/>
      <c r="H95" s="3"/>
      <c r="I95" s="3"/>
      <c r="J95" s="3"/>
      <c r="K95" s="8"/>
      <c r="N95" s="1"/>
      <c r="O95" s="1"/>
      <c r="P95" s="1"/>
      <c r="Q95" s="1"/>
      <c r="R95" s="1"/>
    </row>
    <row r="96" spans="3:18">
      <c r="C96" s="5"/>
      <c r="D96" s="3"/>
      <c r="E96" s="3"/>
      <c r="F96" s="6"/>
      <c r="G96" s="3"/>
      <c r="H96" s="3"/>
      <c r="I96" s="3"/>
      <c r="J96" s="3"/>
      <c r="K96" s="8"/>
      <c r="N96" s="1"/>
      <c r="O96" s="1"/>
      <c r="P96" s="1"/>
      <c r="Q96" s="1"/>
      <c r="R96" s="1"/>
    </row>
    <row r="97" spans="3:18">
      <c r="C97" s="5"/>
      <c r="D97" s="3"/>
      <c r="E97" s="3"/>
      <c r="F97" s="6"/>
      <c r="G97" s="3"/>
      <c r="H97" s="3"/>
      <c r="I97" s="3"/>
      <c r="J97" s="3"/>
      <c r="K97" s="8"/>
      <c r="N97" s="1"/>
      <c r="O97" s="1"/>
      <c r="P97" s="1"/>
      <c r="Q97" s="1"/>
      <c r="R97" s="1"/>
    </row>
    <row r="98" spans="3:18">
      <c r="C98" s="5"/>
      <c r="D98" s="3"/>
      <c r="E98" s="3"/>
      <c r="F98" s="6"/>
      <c r="G98" s="3"/>
      <c r="H98" s="3"/>
      <c r="I98" s="3"/>
      <c r="J98" s="3"/>
      <c r="K98" s="8"/>
      <c r="N98" s="1"/>
      <c r="O98" s="1"/>
      <c r="P98" s="1"/>
      <c r="Q98" s="1"/>
      <c r="R98" s="1"/>
    </row>
    <row r="99" spans="3:18">
      <c r="C99" s="5"/>
      <c r="D99" s="3"/>
      <c r="E99" s="3"/>
      <c r="F99" s="6"/>
      <c r="G99" s="3"/>
      <c r="H99" s="3"/>
      <c r="I99" s="3"/>
      <c r="J99" s="3"/>
      <c r="K99" s="8"/>
      <c r="N99" s="1"/>
      <c r="O99" s="1"/>
      <c r="P99" s="1"/>
      <c r="Q99" s="1"/>
      <c r="R99" s="1"/>
    </row>
    <row r="100" spans="3:18">
      <c r="C100" s="5"/>
      <c r="D100" s="3"/>
      <c r="E100" s="3"/>
      <c r="F100" s="6"/>
      <c r="G100" s="3"/>
      <c r="H100" s="3"/>
      <c r="I100" s="3"/>
      <c r="J100" s="3"/>
      <c r="K100" s="8"/>
      <c r="N100" s="1"/>
      <c r="O100" s="1"/>
      <c r="P100" s="1"/>
      <c r="Q100" s="1"/>
      <c r="R100" s="1"/>
    </row>
  </sheetData>
  <mergeCells count="1">
    <mergeCell ref="E2:H2"/>
  </mergeCells>
  <conditionalFormatting sqref="G5:G100">
    <cfRule type="containsText" dxfId="14" priority="5" operator="containsText" text="Hotovo">
      <formula>NOT(ISERROR(SEARCH("Hotovo",G5)))</formula>
    </cfRule>
  </conditionalFormatting>
  <conditionalFormatting sqref="G5:G100">
    <cfRule type="containsText" dxfId="13" priority="4" operator="containsText" text="Zadáno">
      <formula>NOT(ISERROR(SEARCH("Zadáno",G5)))</formula>
    </cfRule>
  </conditionalFormatting>
  <conditionalFormatting sqref="G6">
    <cfRule type="containsText" dxfId="12" priority="3" operator="containsText" text="Naplánováno">
      <formula>NOT(ISERROR(SEARCH("Naplánováno",G6)))</formula>
    </cfRule>
  </conditionalFormatting>
  <conditionalFormatting sqref="G5:G100">
    <cfRule type="containsText" dxfId="11" priority="2" operator="containsText" text="V procesu">
      <formula>NOT(ISERROR(SEARCH("V procesu",G5)))</formula>
    </cfRule>
  </conditionalFormatting>
  <conditionalFormatting sqref="G5:G100">
    <cfRule type="containsText" dxfId="10" priority="1" operator="containsText" text="Nedokončeno">
      <formula>NOT(ISERROR(SEARCH("Nedokončeno",G5)))</formula>
    </cfRule>
  </conditionalFormatting>
  <dataValidations count="6">
    <dataValidation type="list" allowBlank="1" showInputMessage="1" showErrorMessage="1" sqref="E5:E100" xr:uid="{85D37D76-E403-42B4-9DAA-88173C33A9BD}">
      <formula1>"Scrum Master,Backend dev,Sysadmin,Dokumentarista,Frontend dev"</formula1>
    </dataValidation>
    <dataValidation type="list" allowBlank="1" showInputMessage="1" showErrorMessage="1" sqref="D5:D9 D11:D100" xr:uid="{834B50D5-6143-4502-9D2D-5E87D9AB7210}">
      <formula1>"Michael Příhoda, Milana Polyanskova, Šimon Hloska, David Houra, Vít Valenta"</formula1>
    </dataValidation>
    <dataValidation type="list" allowBlank="1" showInputMessage="1" showErrorMessage="1" sqref="G6:G100" xr:uid="{6FCA1B7E-3FDF-416A-821D-AF9B938B45E0}">
      <formula1>"Zadáno,Naplánováno,V procesu,Nedokončeno,Hotovo"</formula1>
    </dataValidation>
    <dataValidation type="list" allowBlank="1" showInputMessage="1" showErrorMessage="1" sqref="D10" xr:uid="{8E2C7F9F-40CA-4FEE-8060-5BD5CE8658EB}">
      <formula1>"Michael Příhoda, Milana Polyanskova, Šimon Hloska, David Houra, Vít Valenta"</formula1>
    </dataValidation>
    <dataValidation type="list" allowBlank="1" showInputMessage="1" showErrorMessage="1" sqref="N5:N9" xr:uid="{817F6E64-8A60-4C72-933B-89EF4FC2112C}">
      <formula1>"Michael Příhoda,Milana Polyanskova,Šimon Hloska,David Houra,Vít Valenta"</formula1>
    </dataValidation>
    <dataValidation type="list" allowBlank="1" showInputMessage="1" showErrorMessage="1" sqref="G5" xr:uid="{228D6C16-FD41-4EDC-952B-C6501C8BAF47}">
      <formula1>"Zadáno;Naplánováno;V procesu;Nedokončeno;Hotovo"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2026-02-13T21:34:10Z</dcterms:created>
  <dcterms:modified xsi:type="dcterms:W3CDTF">2026-02-16T12:55:29Z</dcterms:modified>
  <cp:category/>
  <cp:contentStatus/>
</cp:coreProperties>
</file>